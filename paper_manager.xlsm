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har\programs\Other\paper-manager\"/>
    </mc:Choice>
  </mc:AlternateContent>
  <xr:revisionPtr revIDLastSave="0" documentId="13_ncr:1_{6BD00668-C911-4434-B61D-631E87B7366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List" sheetId="1" r:id="rId1"/>
    <sheet name="Note" sheetId="2" r:id="rId2"/>
    <sheet name="Macro" sheetId="6" r:id="rId3"/>
    <sheet name="Filter" sheetId="3" r:id="rId4"/>
  </sheets>
  <definedNames>
    <definedName name="ImportanceList">ImportanceListTable[Importance List]</definedName>
    <definedName name="StateList">StateListTable[State List]</definedName>
    <definedName name="TypeList">TypeListTable[Type List]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  <c r="B3" i="3" a="1"/>
  <c r="B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河野治憲</author>
  </authors>
  <commentList>
    <comment ref="C2" authorId="0" shapeId="0" xr:uid="{58776AFF-228D-4588-923A-4B6A89132F29}">
      <text>
        <r>
          <rPr>
            <sz val="9"/>
            <color indexed="81"/>
            <rFont val="MS P ゴシック"/>
            <family val="3"/>
            <charset val="128"/>
          </rPr>
          <t>1: 完全に読んだ.
2: 全体像を読み, 今後完読予定.
3: ある程度読んだもしくは解説を読んで知識として十分.
4: 待機中.
5: ある程度読んで今後読むつもりはあまりない.
6: 参考文献用.</t>
        </r>
      </text>
    </comment>
    <comment ref="C3" authorId="0" shapeId="0" xr:uid="{138EAFA7-A9EE-4E25-88D0-306EE44A8294}">
      <text>
        <r>
          <rPr>
            <sz val="9"/>
            <color indexed="81"/>
            <rFont val="MS P ゴシック"/>
            <family val="3"/>
            <charset val="128"/>
          </rPr>
          <t>例: abc, efg, hij</t>
        </r>
      </text>
    </comment>
    <comment ref="C6" authorId="0" shapeId="0" xr:uid="{DDCAAE8C-00C0-44B4-9497-F46C804B9296}">
      <text>
        <r>
          <rPr>
            <sz val="9"/>
            <color indexed="81"/>
            <rFont val="MS P ゴシック"/>
            <family val="3"/>
            <charset val="128"/>
          </rPr>
          <t>出版物のその他データ
例: Conf. of Abc, pp. 1-5</t>
        </r>
      </text>
    </comment>
    <comment ref="C7" authorId="0" shapeId="0" xr:uid="{F8D68746-91D6-461B-AB4F-583886C8E8D0}">
      <text>
        <r>
          <rPr>
            <sz val="9"/>
            <color indexed="81"/>
            <rFont val="MS P ゴシック"/>
            <family val="3"/>
            <charset val="128"/>
          </rPr>
          <t>一言で要約する
例: 髪は死んだと主張している.</t>
        </r>
      </text>
    </comment>
    <comment ref="C8" authorId="0" shapeId="0" xr:uid="{ACCD65DA-7041-42E6-8A2B-DF122CFE03C7}">
      <text>
        <r>
          <rPr>
            <sz val="9"/>
            <color indexed="81"/>
            <rFont val="MS P ゴシック"/>
            <family val="3"/>
            <charset val="128"/>
          </rPr>
          <t>キーワードを入力
例: チョモランマの理論</t>
        </r>
      </text>
    </comment>
    <comment ref="C9" authorId="0" shapeId="0" xr:uid="{D58E6AD2-C1D4-4E15-9D4E-5FBA4DC3E8D3}">
      <text>
        <r>
          <rPr>
            <sz val="9"/>
            <color indexed="81"/>
            <rFont val="MS P ゴシック"/>
            <family val="3"/>
            <charset val="128"/>
          </rPr>
          <t>1: あまり興味なし
2: 興味はある
3: 使うかも
4: 参考
5: 超重要</t>
        </r>
      </text>
    </comment>
    <comment ref="C10" authorId="0" shapeId="0" xr:uid="{7AC1FDE8-7D31-4A61-BBEA-AD3BED11A024}">
      <text>
        <r>
          <rPr>
            <sz val="9"/>
            <color indexed="81"/>
            <rFont val="MS P ゴシック"/>
            <family val="3"/>
            <charset val="128"/>
          </rPr>
          <t>論文のタイプを自分で作って選択する</t>
        </r>
      </text>
    </comment>
    <comment ref="C11" authorId="0" shapeId="0" xr:uid="{BE33EA63-269D-4FF3-B5BA-FF2CFE512F97}">
      <text>
        <r>
          <rPr>
            <sz val="9"/>
            <color indexed="81"/>
            <rFont val="MS P ゴシック"/>
            <family val="3"/>
            <charset val="128"/>
          </rPr>
          <t xml:space="preserve">組織の名前
例: A team University of B, C research team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<sst xmlns="http://schemas.openxmlformats.org/spreadsheetml/2006/main" count="48" uniqueCount="39">
  <si>
    <t>ID</t>
    <phoneticPr fontId="2"/>
  </si>
  <si>
    <t>State</t>
    <phoneticPr fontId="2"/>
  </si>
  <si>
    <t>Author</t>
    <phoneticPr fontId="2"/>
  </si>
  <si>
    <t>Title</t>
    <phoneticPr fontId="2"/>
  </si>
  <si>
    <t>Year</t>
    <phoneticPr fontId="2"/>
  </si>
  <si>
    <t>Other Details</t>
    <phoneticPr fontId="2"/>
  </si>
  <si>
    <t>Type</t>
    <phoneticPr fontId="2"/>
  </si>
  <si>
    <t>Summary</t>
    <phoneticPr fontId="2"/>
  </si>
  <si>
    <t>Importance</t>
    <phoneticPr fontId="2"/>
  </si>
  <si>
    <t>Registration Date</t>
    <phoneticPr fontId="2"/>
  </si>
  <si>
    <t>State List</t>
    <phoneticPr fontId="2"/>
  </si>
  <si>
    <t>ある程度読んだもしくは解説を読んで知識として十分.</t>
    <rPh sb="2" eb="4">
      <t>テイド</t>
    </rPh>
    <rPh sb="4" eb="5">
      <t>ヨ</t>
    </rPh>
    <rPh sb="11" eb="13">
      <t>カイセツ</t>
    </rPh>
    <rPh sb="14" eb="15">
      <t>ヨ</t>
    </rPh>
    <rPh sb="17" eb="19">
      <t>チシキ</t>
    </rPh>
    <rPh sb="22" eb="24">
      <t>ジュウブン</t>
    </rPh>
    <phoneticPr fontId="2"/>
  </si>
  <si>
    <t>全体像を読み, 今後完読予定.</t>
    <rPh sb="0" eb="3">
      <t>ゼンタイゾウ</t>
    </rPh>
    <rPh sb="4" eb="5">
      <t>ヨ</t>
    </rPh>
    <rPh sb="8" eb="10">
      <t>コンゴ</t>
    </rPh>
    <rPh sb="10" eb="12">
      <t>カンドク</t>
    </rPh>
    <rPh sb="12" eb="14">
      <t>ヨテイ</t>
    </rPh>
    <phoneticPr fontId="2"/>
  </si>
  <si>
    <t>完全に読んだ.</t>
    <rPh sb="0" eb="2">
      <t>カンゼン</t>
    </rPh>
    <rPh sb="3" eb="4">
      <t>ヨ</t>
    </rPh>
    <phoneticPr fontId="2"/>
  </si>
  <si>
    <t>Importance List</t>
    <phoneticPr fontId="2"/>
  </si>
  <si>
    <t>超重要</t>
    <rPh sb="0" eb="3">
      <t>チョウジュウヨウ</t>
    </rPh>
    <phoneticPr fontId="2"/>
  </si>
  <si>
    <t>あまり興味なし</t>
    <rPh sb="3" eb="5">
      <t>キョウミ</t>
    </rPh>
    <phoneticPr fontId="2"/>
  </si>
  <si>
    <t>参考</t>
    <rPh sb="0" eb="2">
      <t>サンコウ</t>
    </rPh>
    <phoneticPr fontId="2"/>
  </si>
  <si>
    <t>使うかも</t>
    <rPh sb="0" eb="1">
      <t>ツカ</t>
    </rPh>
    <phoneticPr fontId="2"/>
  </si>
  <si>
    <t>興味はある</t>
    <rPh sb="0" eb="2">
      <t>キョウミ</t>
    </rPh>
    <phoneticPr fontId="2"/>
  </si>
  <si>
    <t>Type List</t>
    <phoneticPr fontId="2"/>
  </si>
  <si>
    <t>Organizations</t>
    <phoneticPr fontId="2"/>
  </si>
  <si>
    <t>State:</t>
    <phoneticPr fontId="2"/>
  </si>
  <si>
    <t>Title:</t>
    <phoneticPr fontId="2"/>
  </si>
  <si>
    <t>Year:</t>
    <phoneticPr fontId="2"/>
  </si>
  <si>
    <t>Other Details:</t>
    <phoneticPr fontId="2"/>
  </si>
  <si>
    <t>Summary:</t>
    <phoneticPr fontId="2"/>
  </si>
  <si>
    <t>Importance:</t>
    <phoneticPr fontId="2"/>
  </si>
  <si>
    <t>Organization:</t>
    <phoneticPr fontId="2"/>
  </si>
  <si>
    <t>Type:</t>
    <phoneticPr fontId="2"/>
  </si>
  <si>
    <t>待機中.</t>
    <rPh sb="0" eb="3">
      <t>タイキチュウ</t>
    </rPh>
    <phoneticPr fontId="2"/>
  </si>
  <si>
    <t>ある程度読んで今後読むつもりはあまりない.</t>
    <rPh sb="2" eb="4">
      <t>テイド</t>
    </rPh>
    <rPh sb="4" eb="5">
      <t>ヨ</t>
    </rPh>
    <rPh sb="7" eb="9">
      <t>コンゴ</t>
    </rPh>
    <rPh sb="9" eb="10">
      <t>ヨ</t>
    </rPh>
    <phoneticPr fontId="2"/>
  </si>
  <si>
    <t>参考文献用.</t>
    <rPh sb="0" eb="4">
      <t>サンコウブンケン</t>
    </rPh>
    <rPh sb="4" eb="5">
      <t>ヨウ</t>
    </rPh>
    <phoneticPr fontId="2"/>
  </si>
  <si>
    <t>New Type:</t>
  </si>
  <si>
    <t>Author:</t>
  </si>
  <si>
    <t>待機リスト</t>
    <rPh sb="0" eb="2">
      <t>タイキ</t>
    </rPh>
    <phoneticPr fontId="2"/>
  </si>
  <si>
    <t>Key</t>
    <phoneticPr fontId="2"/>
  </si>
  <si>
    <t>Key:</t>
    <phoneticPr fontId="2"/>
  </si>
  <si>
    <t>Type Fileter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</si>
</sst>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b/>
      <sz val="11"/>
      <color theme="3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1"/>
      <color theme="4" tint="-0.249977111117893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  <font>
      <b/>
      <sz val="11"/>
      <color theme="8" tint="-0.499984740745262"/>
      <name val="Yu Gothic"/>
      <family val="2"/>
      <scheme val="minor"/>
    </font>
    <font>
      <b/>
      <sz val="11"/>
      <color theme="8" tint="-0.499984740745262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8" tint="-0.249977111117893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thin">
        <color indexed="64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/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top"/>
    </xf>
    <xf numFmtId="0" fontId="0" fillId="0" borderId="2" xfId="0" applyBorder="1"/>
    <xf numFmtId="0" fontId="3" fillId="2" borderId="3" xfId="0" applyFont="1" applyFill="1" applyBorder="1" applyAlignment="1">
      <alignment horizontal="right"/>
    </xf>
    <xf numFmtId="0" fontId="0" fillId="0" borderId="4" xfId="0" applyBorder="1"/>
    <xf numFmtId="0" fontId="3" fillId="2" borderId="5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3" fillId="2" borderId="9" xfId="0" applyFont="1" applyFill="1" applyBorder="1" applyAlignment="1">
      <alignment horizontal="right"/>
    </xf>
    <xf numFmtId="0" fontId="0" fillId="0" borderId="10" xfId="0" applyBorder="1"/>
    <xf numFmtId="0" fontId="0" fillId="0" borderId="0" xfId="0" applyProtection="1">
      <protection locked="0"/>
    </xf>
    <xf numFmtId="0" fontId="0" fillId="0" borderId="0" xfId="0" applyAlignment="1">
      <alignment vertical="top" wrapText="1"/>
    </xf>
    <xf numFmtId="0" fontId="6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 wrapText="1"/>
    </xf>
    <xf numFmtId="0" fontId="8" fillId="0" borderId="12" xfId="0" applyFont="1" applyBorder="1" applyAlignment="1">
      <alignment vertical="top"/>
    </xf>
    <xf numFmtId="0" fontId="1" fillId="0" borderId="1" xfId="1" applyAlignment="1">
      <alignment vertical="top"/>
    </xf>
    <xf numFmtId="0" fontId="1" fillId="0" borderId="1" xfId="1" applyAlignment="1">
      <alignment vertical="top" wrapText="1"/>
    </xf>
    <xf numFmtId="0" fontId="1" fillId="0" borderId="1" xfId="1" applyFill="1" applyAlignment="1">
      <alignment vertical="top"/>
    </xf>
    <xf numFmtId="14" fontId="1" fillId="0" borderId="1" xfId="1" applyNumberFormat="1" applyFill="1" applyAlignment="1">
      <alignment vertical="top"/>
    </xf>
    <xf numFmtId="0" fontId="9" fillId="0" borderId="0" xfId="0" applyFont="1" applyAlignment="1">
      <alignment horizontal="center" vertical="top"/>
    </xf>
  </cellXfs>
  <cellStyles count="2">
    <cellStyle name="見出し 3" xfId="1" builtinId="18"/>
    <cellStyle name="標準" xfId="0" builtinId="0"/>
  </cellStyles>
  <dxfs count="18">
    <dxf>
      <protection locked="0" hidden="0"/>
    </dxf>
    <dxf>
      <protection locked="0" hidden="0"/>
    </dxf>
    <dxf>
      <protection locked="1" hidden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69850</xdr:rowOff>
        </xdr:from>
        <xdr:to>
          <xdr:col>2</xdr:col>
          <xdr:colOff>196850</xdr:colOff>
          <xdr:row>13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463550</xdr:colOff>
          <xdr:row>11</xdr:row>
          <xdr:rowOff>69850</xdr:rowOff>
        </xdr:from>
        <xdr:to>
          <xdr:col>2</xdr:col>
          <xdr:colOff>1663700</xdr:colOff>
          <xdr:row>13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215900</xdr:rowOff>
        </xdr:from>
        <xdr:to>
          <xdr:col>7</xdr:col>
          <xdr:colOff>298450</xdr:colOff>
          <xdr:row>2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 Type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263C65-8AB2-419A-8DDB-B24D03B83BE0}" name="List" displayName="List" ref="A1:L2" insertRow="1" totalsRowShown="0" headerRowDxfId="17" dataDxfId="15" headerRowBorderDxfId="16" headerRowCellStyle="見出し 3">
  <autoFilter ref="A1:L2" xr:uid="{2C263C65-8AB2-419A-8DDB-B24D03B83BE0}"/>
  <sortState xmlns:xlrd2="http://schemas.microsoft.com/office/spreadsheetml/2017/richdata2" ref="A2:L2">
    <sortCondition ref="A1:A2"/>
  </sortState>
  <tableColumns count="12">
    <tableColumn id="1" xr3:uid="{693DA46D-DCFB-4A23-A770-4FD6314E4158}" name="ID" dataDxfId="14"/>
    <tableColumn id="2" xr3:uid="{7A5A40B1-A887-46D6-A73B-FF2EB9F0B38F}" name="State" dataDxfId="13"/>
    <tableColumn id="3" xr3:uid="{40E2EB36-67F9-4836-A407-2FB7DEEAADEB}" name="Author" dataDxfId="12"/>
    <tableColumn id="4" xr3:uid="{5042F543-4629-4063-8F7E-0458D135528C}" name="Title" dataDxfId="11"/>
    <tableColumn id="5" xr3:uid="{5E6DFE05-1642-4BB6-8A93-966E964A69AE}" name="Year" dataDxfId="10"/>
    <tableColumn id="6" xr3:uid="{77F07563-2D4E-46CC-9678-820D6F4DC525}" name="Other Details" dataDxfId="9"/>
    <tableColumn id="7" xr3:uid="{577FF1D3-EA00-4F1A-8977-1C501F1D0257}" name="Summary" dataDxfId="8"/>
    <tableColumn id="8" xr3:uid="{423C953F-383D-4D7F-BB80-932D3DCED3EE}" name="Key" dataDxfId="7"/>
    <tableColumn id="9" xr3:uid="{ECFF8B0E-D57A-48FE-94DB-1AC30A7F79BF}" name="Importance" dataDxfId="6"/>
    <tableColumn id="11" xr3:uid="{815CD99F-F662-4FB8-93BD-8772A0EFBE47}" name="Type" dataDxfId="5"/>
    <tableColumn id="16" xr3:uid="{CA902DB5-6B45-4E70-BE6B-6F8147410828}" name="Organizations" dataDxfId="4"/>
    <tableColumn id="12" xr3:uid="{2E1EE34E-2D91-417C-A4B6-7DBA37D575C8}" name="Registration Date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661AB0-40EE-4946-AE53-52C56293FC57}" name="StateListTable" displayName="StateListTable" ref="A1:A7" totalsRowShown="0">
  <autoFilter ref="A1:A7" xr:uid="{40661AB0-40EE-4946-AE53-52C56293FC57}"/>
  <tableColumns count="1">
    <tableColumn id="1" xr3:uid="{C2E8414B-130C-471F-8A20-9A28AC5BF3BE}" name="State Lis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2C4C20-3BBF-4B85-A153-7FC2FE28E732}" name="ImportanceListTable" displayName="ImportanceListTable" ref="D1:D6" totalsRowShown="0">
  <autoFilter ref="D1:D6" xr:uid="{CF2C4C20-3BBF-4B85-A153-7FC2FE28E732}"/>
  <tableColumns count="1">
    <tableColumn id="1" xr3:uid="{3F5CC980-622D-438F-9BED-173205ECD5FC}" name="Importance Lis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564CFA-C51D-46FA-8892-082EEF35E2EA}" name="TypeListTable" displayName="TypeListTable" ref="G1:G2" totalsRowShown="0" headerRowDxfId="2" dataDxfId="1">
  <autoFilter ref="G1:G2" xr:uid="{AE564CFA-C51D-46FA-8892-082EEF35E2EA}"/>
  <tableColumns count="1">
    <tableColumn id="1" xr3:uid="{8225CC9E-CD18-4FCA-9B02-C11FA8F66EF2}" name="Type List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topLeftCell="H1" zoomScale="62" zoomScaleNormal="62" workbookViewId="0">
      <selection activeCell="K6" sqref="K6"/>
    </sheetView>
  </sheetViews>
  <sheetFormatPr defaultRowHeight="18"/>
  <cols>
    <col min="1" max="1" width="9.4140625" style="1" customWidth="1"/>
    <col min="2" max="2" width="8.6640625" style="1" customWidth="1"/>
    <col min="3" max="3" width="21.83203125" style="1" customWidth="1"/>
    <col min="4" max="4" width="35.75" style="12" customWidth="1"/>
    <col min="5" max="5" width="12.1640625" style="1" customWidth="1"/>
    <col min="6" max="6" width="16.33203125" style="1" customWidth="1"/>
    <col min="7" max="7" width="59.1640625" style="12" customWidth="1"/>
    <col min="8" max="8" width="19.08203125" style="1" customWidth="1"/>
    <col min="9" max="9" width="12.83203125" style="1" customWidth="1"/>
    <col min="10" max="10" width="22.4140625" style="1" customWidth="1"/>
    <col min="11" max="11" width="18" style="1" customWidth="1"/>
    <col min="12" max="12" width="16.25" style="1" customWidth="1"/>
    <col min="13" max="16384" width="8.6640625" style="1"/>
  </cols>
  <sheetData>
    <row r="1" spans="1:12" ht="18.5" thickBot="1">
      <c r="A1" s="17" t="s">
        <v>0</v>
      </c>
      <c r="B1" s="17" t="s">
        <v>1</v>
      </c>
      <c r="C1" s="17" t="s">
        <v>2</v>
      </c>
      <c r="D1" s="18" t="s">
        <v>3</v>
      </c>
      <c r="E1" s="17" t="s">
        <v>4</v>
      </c>
      <c r="F1" s="17" t="s">
        <v>5</v>
      </c>
      <c r="G1" s="18" t="s">
        <v>7</v>
      </c>
      <c r="H1" s="17" t="s">
        <v>36</v>
      </c>
      <c r="I1" s="17" t="s">
        <v>8</v>
      </c>
      <c r="J1" s="17" t="s">
        <v>6</v>
      </c>
      <c r="K1" s="17" t="s">
        <v>21</v>
      </c>
      <c r="L1" s="19" t="s">
        <v>9</v>
      </c>
    </row>
    <row r="2" spans="1:12" ht="18.5" thickBot="1">
      <c r="A2" s="17"/>
      <c r="B2" s="17"/>
      <c r="C2" s="17"/>
      <c r="D2" s="18"/>
      <c r="E2" s="17"/>
      <c r="F2" s="17"/>
      <c r="G2" s="18"/>
      <c r="H2" s="17"/>
      <c r="I2" s="17"/>
      <c r="J2" s="17"/>
      <c r="K2" s="17"/>
      <c r="L2" s="20"/>
    </row>
  </sheetData>
  <sheetProtection sort="0" autoFilter="0"/>
  <phoneticPr fontId="2"/>
  <dataValidations count="3">
    <dataValidation type="list" allowBlank="1" showInputMessage="1" showErrorMessage="1" sqref="B1 B3:B1048576" xr:uid="{150020BA-B028-4C56-BEB8-975A4D2DDDE0}">
      <formula1>StateList</formula1>
    </dataValidation>
    <dataValidation type="list" allowBlank="1" showInputMessage="1" showErrorMessage="1" sqref="I1 I3:I1048576" xr:uid="{679ACFDF-342D-44FD-9AB2-13C13AA68BA6}">
      <formula1>ImportanceList</formula1>
    </dataValidation>
    <dataValidation type="list" allowBlank="1" showInputMessage="1" showErrorMessage="1" sqref="J1 J3:J1048576" xr:uid="{E4C0CB03-0E1A-4EA6-B44A-34FE4B1E91BC}">
      <formula1>TypeList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C7C6B-DA0E-4E6D-B63A-12028D5D580D}">
  <sheetPr codeName="Sheet3"/>
  <dimension ref="A1:G7"/>
  <sheetViews>
    <sheetView zoomScale="56" zoomScaleNormal="56" workbookViewId="0">
      <selection activeCell="E11" sqref="E11"/>
    </sheetView>
  </sheetViews>
  <sheetFormatPr defaultRowHeight="18"/>
  <cols>
    <col min="1" max="1" width="14" customWidth="1"/>
    <col min="2" max="2" width="45.5" customWidth="1"/>
    <col min="3" max="3" width="8.08203125" customWidth="1"/>
    <col min="4" max="4" width="19.25" customWidth="1"/>
    <col min="5" max="5" width="23.08203125" customWidth="1"/>
    <col min="6" max="6" width="6.58203125" customWidth="1"/>
    <col min="7" max="7" width="27.75" style="11" customWidth="1"/>
  </cols>
  <sheetData>
    <row r="1" spans="1:7">
      <c r="A1" t="s">
        <v>10</v>
      </c>
      <c r="D1" t="s">
        <v>14</v>
      </c>
      <c r="G1" t="s">
        <v>20</v>
      </c>
    </row>
    <row r="2" spans="1:7">
      <c r="A2">
        <v>1</v>
      </c>
      <c r="B2" t="s">
        <v>13</v>
      </c>
      <c r="D2">
        <v>1</v>
      </c>
      <c r="E2" t="s">
        <v>16</v>
      </c>
    </row>
    <row r="3" spans="1:7">
      <c r="A3">
        <v>2</v>
      </c>
      <c r="B3" t="s">
        <v>12</v>
      </c>
      <c r="D3">
        <v>2</v>
      </c>
      <c r="E3" t="s">
        <v>19</v>
      </c>
    </row>
    <row r="4" spans="1:7">
      <c r="A4">
        <v>3</v>
      </c>
      <c r="B4" t="s">
        <v>11</v>
      </c>
      <c r="D4">
        <v>3</v>
      </c>
      <c r="E4" t="s">
        <v>18</v>
      </c>
    </row>
    <row r="5" spans="1:7">
      <c r="A5">
        <v>4</v>
      </c>
      <c r="B5" t="s">
        <v>30</v>
      </c>
      <c r="D5">
        <v>4</v>
      </c>
      <c r="E5" t="s">
        <v>17</v>
      </c>
    </row>
    <row r="6" spans="1:7">
      <c r="A6">
        <v>5</v>
      </c>
      <c r="B6" t="s">
        <v>31</v>
      </c>
      <c r="D6">
        <v>5</v>
      </c>
      <c r="E6" t="s">
        <v>15</v>
      </c>
    </row>
    <row r="7" spans="1:7">
      <c r="A7">
        <v>6</v>
      </c>
      <c r="B7" t="s">
        <v>32</v>
      </c>
    </row>
  </sheetData>
  <sheetProtection sort="0" autoFilter="0"/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A9B7-9E18-489F-B229-DFB9768A5116}">
  <sheetPr codeName="Sheet5"/>
  <dimension ref="B1:F11"/>
  <sheetViews>
    <sheetView zoomScale="93" workbookViewId="0">
      <selection activeCell="E9" sqref="E9"/>
    </sheetView>
  </sheetViews>
  <sheetFormatPr defaultRowHeight="18"/>
  <cols>
    <col min="1" max="1" width="13.9140625" customWidth="1"/>
    <col min="2" max="2" width="14.9140625" customWidth="1"/>
    <col min="3" max="3" width="63.75" customWidth="1"/>
    <col min="5" max="5" width="10.5" customWidth="1"/>
    <col min="6" max="6" width="26.83203125" customWidth="1"/>
  </cols>
  <sheetData>
    <row r="1" spans="2:6" ht="18.5" thickBot="1">
      <c r="C1" s="2"/>
    </row>
    <row r="2" spans="2:6" ht="18.5" thickBot="1">
      <c r="B2" s="3" t="s">
        <v>22</v>
      </c>
      <c r="C2" s="4"/>
      <c r="E2" s="9" t="s">
        <v>33</v>
      </c>
      <c r="F2" s="10"/>
    </row>
    <row r="3" spans="2:6">
      <c r="B3" s="5" t="s">
        <v>34</v>
      </c>
      <c r="C3" s="7"/>
    </row>
    <row r="4" spans="2:6">
      <c r="B4" s="5" t="s">
        <v>23</v>
      </c>
      <c r="C4" s="7"/>
    </row>
    <row r="5" spans="2:6">
      <c r="B5" s="5" t="s">
        <v>24</v>
      </c>
      <c r="C5" s="7"/>
    </row>
    <row r="6" spans="2:6">
      <c r="B6" s="5" t="s">
        <v>25</v>
      </c>
      <c r="C6" s="7"/>
    </row>
    <row r="7" spans="2:6">
      <c r="B7" s="5" t="s">
        <v>26</v>
      </c>
      <c r="C7" s="7"/>
    </row>
    <row r="8" spans="2:6">
      <c r="B8" s="5" t="s">
        <v>37</v>
      </c>
      <c r="C8" s="7"/>
    </row>
    <row r="9" spans="2:6">
      <c r="B9" s="5" t="s">
        <v>27</v>
      </c>
      <c r="C9" s="7"/>
    </row>
    <row r="10" spans="2:6">
      <c r="B10" s="5" t="s">
        <v>29</v>
      </c>
      <c r="C10" s="7"/>
    </row>
    <row r="11" spans="2:6" ht="18.5" thickBot="1">
      <c r="B11" s="6" t="s">
        <v>28</v>
      </c>
      <c r="C11" s="8"/>
    </row>
  </sheetData>
  <phoneticPr fontId="2"/>
  <dataValidations count="3">
    <dataValidation type="list" allowBlank="1" showInputMessage="1" showErrorMessage="1" sqref="C2" xr:uid="{D6C6C04B-57FD-4B70-B808-3B620F80DA7B}">
      <formula1>StateList</formula1>
    </dataValidation>
    <dataValidation type="list" allowBlank="1" showInputMessage="1" showErrorMessage="1" sqref="C9" xr:uid="{956A2FEA-1BB9-406A-8E09-54F74E8F7451}">
      <formula1>ImportanceList</formula1>
    </dataValidation>
    <dataValidation type="list" allowBlank="1" showInputMessage="1" showErrorMessage="1" sqref="C10" xr:uid="{0827167E-26B1-4CC0-AE35-9FE63876C9E1}">
      <formula1>TypeList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List">
                <anchor moveWithCells="1">
                  <from>
                    <xdr:col>1</xdr:col>
                    <xdr:colOff>0</xdr:colOff>
                    <xdr:row>11</xdr:row>
                    <xdr:rowOff>69850</xdr:rowOff>
                  </from>
                  <to>
                    <xdr:col>2</xdr:col>
                    <xdr:colOff>196850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ormreset">
                <anchor moveWithCells="1">
                  <from>
                    <xdr:col>2</xdr:col>
                    <xdr:colOff>463550</xdr:colOff>
                    <xdr:row>11</xdr:row>
                    <xdr:rowOff>69850</xdr:rowOff>
                  </from>
                  <to>
                    <xdr:col>2</xdr:col>
                    <xdr:colOff>1663700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AddTYpe">
                <anchor moveWithCells="1">
                  <from>
                    <xdr:col>6</xdr:col>
                    <xdr:colOff>76200</xdr:colOff>
                    <xdr:row>0</xdr:row>
                    <xdr:rowOff>215900</xdr:rowOff>
                  </from>
                  <to>
                    <xdr:col>7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EBFF-1A55-4C19-988B-4A4DFD043576}">
  <sheetPr codeName="Sheet4"/>
  <dimension ref="B1:L3"/>
  <sheetViews>
    <sheetView zoomScale="85" zoomScaleNormal="85" workbookViewId="0">
      <selection activeCell="D5" sqref="D5"/>
    </sheetView>
  </sheetViews>
  <sheetFormatPr defaultRowHeight="18"/>
  <cols>
    <col min="1" max="1" width="8.6640625" style="1"/>
    <col min="2" max="2" width="9.33203125" style="1" customWidth="1"/>
    <col min="3" max="3" width="8.75" style="1" customWidth="1"/>
    <col min="4" max="4" width="33.83203125" style="12" customWidth="1"/>
    <col min="5" max="5" width="18.58203125" style="1" customWidth="1"/>
    <col min="6" max="6" width="14" style="1" customWidth="1"/>
    <col min="7" max="7" width="8.6640625" style="1"/>
    <col min="8" max="8" width="17" style="1" customWidth="1"/>
    <col min="9" max="10" width="8.6640625" style="1"/>
    <col min="11" max="11" width="40.58203125" style="12" customWidth="1"/>
    <col min="12" max="12" width="17.5" style="1" customWidth="1"/>
    <col min="13" max="16384" width="8.6640625" style="1"/>
  </cols>
  <sheetData>
    <row r="1" spans="2:12" ht="18.5" thickBot="1">
      <c r="B1" s="21" t="s">
        <v>35</v>
      </c>
      <c r="C1" s="21"/>
      <c r="D1" s="21"/>
      <c r="E1" s="21"/>
      <c r="F1" s="21"/>
      <c r="H1" s="21" t="s">
        <v>38</v>
      </c>
      <c r="I1" s="21"/>
      <c r="J1" s="21"/>
      <c r="K1" s="21"/>
      <c r="L1" s="21"/>
    </row>
    <row r="2" spans="2:12" ht="18.5" thickBot="1">
      <c r="B2" s="13" t="s">
        <v>0</v>
      </c>
      <c r="C2" s="14" t="s">
        <v>1</v>
      </c>
      <c r="D2" s="15" t="s">
        <v>3</v>
      </c>
      <c r="E2" s="14" t="s">
        <v>6</v>
      </c>
      <c r="F2" s="14" t="s">
        <v>36</v>
      </c>
      <c r="H2" s="16"/>
      <c r="I2" s="13" t="s">
        <v>0</v>
      </c>
      <c r="J2" s="14" t="s">
        <v>1</v>
      </c>
      <c r="K2" s="15" t="s">
        <v>3</v>
      </c>
      <c r="L2" s="14" t="s">
        <v>36</v>
      </c>
    </row>
    <row r="3" spans="2:12">
      <c r="B3" s="1" t="str" cm="1">
        <f t="array" ref="B3">IFERROR(_xlfn.CHOOSECOLS(_xlfn._xlws.FILTER(List[],(List[State]=2)+(List[State]=4)), _xlfn.XMATCH(Filter!$B$2:$F$2, List[#Headers])), "None")</f>
        <v>None</v>
      </c>
      <c r="I3" s="1" cm="1">
        <f t="array" ref="I3:L3">IFERROR(_xlfn.CHOOSECOLS(_xlfn._xlws.FILTER(List[],List[Type]=H2), _xlfn.XMATCH(I2:L2, List[#Headers])), "None")</f>
        <v>0</v>
      </c>
      <c r="J3" s="1">
        <v>0</v>
      </c>
      <c r="K3" s="12">
        <v>0</v>
      </c>
      <c r="L3" s="1">
        <v>0</v>
      </c>
    </row>
  </sheetData>
  <sortState xmlns:xlrd2="http://schemas.microsoft.com/office/spreadsheetml/2017/richdata2" ref="B3:E3">
    <sortCondition ref="D2:D3"/>
  </sortState>
  <mergeCells count="2">
    <mergeCell ref="H1:L1"/>
    <mergeCell ref="B1:F1"/>
  </mergeCells>
  <phoneticPr fontId="2"/>
  <dataValidations count="1">
    <dataValidation type="list" allowBlank="1" showInputMessage="1" showErrorMessage="1" sqref="H2" xr:uid="{E1102E7B-11A7-43EE-91C7-6286A3B8ADCF}">
      <formula1>TypeList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E35A31-50EC-4645-9E10-F76912BAF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List</vt:lpstr>
      <vt:lpstr>Note</vt:lpstr>
      <vt:lpstr>Macro</vt:lpstr>
      <vt:lpstr>Filter</vt:lpstr>
      <vt:lpstr>ImportanceList</vt:lpstr>
      <vt:lpstr>StateList</vt:lpstr>
      <vt:lpstr>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河野治憲</dc:creator>
  <cp:lastModifiedBy>河野治憲</cp:lastModifiedBy>
  <dcterms:created xsi:type="dcterms:W3CDTF">2015-06-05T18:19:34Z</dcterms:created>
  <dcterms:modified xsi:type="dcterms:W3CDTF">2023-01-31T14:17:55Z</dcterms:modified>
</cp:coreProperties>
</file>